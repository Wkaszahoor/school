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aqas\OneDrive\Desktop\"/>
    </mc:Choice>
  </mc:AlternateContent>
  <bookViews>
    <workbookView xWindow="0" yWindow="0" windowWidth="19368" windowHeight="9072" firstSheet="4" activeTab="10"/>
  </bookViews>
  <sheets>
    <sheet name="Learning_KPI" sheetId="1" r:id="rId1"/>
    <sheet name="Weak_Areas" sheetId="2" r:id="rId2"/>
    <sheet name="Teaching_KPI" sheetId="3" r:id="rId3"/>
    <sheet name="Teacher_Attendance" sheetId="4" r:id="rId4"/>
    <sheet name="Operations_KPI" sheetId="5" r:id="rId5"/>
    <sheet name="Fee_Recovery" sheetId="6" state="hidden" r:id="rId6"/>
    <sheet name="Cultural_KPI" sheetId="8" r:id="rId7"/>
    <sheet name="Maintenance" sheetId="7" r:id="rId8"/>
    <sheet name="Partnerships" sheetId="10" r:id="rId9"/>
    <sheet name="Growth_KPI" sheetId="9" r:id="rId10"/>
    <sheet name="Learning_Summ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1" l="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5" i="11"/>
  <c r="D4" i="11"/>
  <c r="E5" i="9"/>
  <c r="E4" i="9"/>
  <c r="E3" i="9"/>
  <c r="E4" i="8"/>
  <c r="E3" i="8"/>
  <c r="I4" i="7"/>
  <c r="I3" i="7"/>
  <c r="F4" i="6"/>
  <c r="F3" i="6"/>
  <c r="E4" i="5"/>
  <c r="E3" i="5"/>
  <c r="F4" i="4"/>
  <c r="F3" i="4"/>
  <c r="I4" i="1"/>
  <c r="H4" i="1"/>
  <c r="I3" i="1"/>
  <c r="H3" i="1"/>
  <c r="D3" i="11" l="1"/>
</calcChain>
</file>

<file path=xl/sharedStrings.xml><?xml version="1.0" encoding="utf-8"?>
<sst xmlns="http://schemas.openxmlformats.org/spreadsheetml/2006/main" count="168" uniqueCount="128">
  <si>
    <t>Student Name</t>
  </si>
  <si>
    <t>Class</t>
  </si>
  <si>
    <t>Subject</t>
  </si>
  <si>
    <t>Baseline Score</t>
  </si>
  <si>
    <t>Mid-Term Score</t>
  </si>
  <si>
    <t>Final Score</t>
  </si>
  <si>
    <t>Value-Added %</t>
  </si>
  <si>
    <t>High-Risk (Y/N)</t>
  </si>
  <si>
    <t>Remarks</t>
  </si>
  <si>
    <t>Student A</t>
  </si>
  <si>
    <t>7A</t>
  </si>
  <si>
    <t>Science</t>
  </si>
  <si>
    <t>Improved after intervention</t>
  </si>
  <si>
    <t>Student B</t>
  </si>
  <si>
    <t>Needs additional support</t>
  </si>
  <si>
    <t>Weak Area Identified</t>
  </si>
  <si>
    <t>Evidence (Questions/Skills)</t>
  </si>
  <si>
    <t>Intervention Strategy</t>
  </si>
  <si>
    <t>Intervention Date</t>
  </si>
  <si>
    <t>Re-Test Score</t>
  </si>
  <si>
    <t>Improved? (Y/N)</t>
  </si>
  <si>
    <t>Math</t>
  </si>
  <si>
    <t>Fractions</t>
  </si>
  <si>
    <t>Incorrect Q4, Q7</t>
  </si>
  <si>
    <t>Extra worksheets + support</t>
  </si>
  <si>
    <t>2025-10-15</t>
  </si>
  <si>
    <t>Yes</t>
  </si>
  <si>
    <t>Chemistry</t>
  </si>
  <si>
    <t>Balancing Equations</t>
  </si>
  <si>
    <t>Errors in Q3, Q6</t>
  </si>
  <si>
    <t>Small group reteach</t>
  </si>
  <si>
    <t>2025-10-17</t>
  </si>
  <si>
    <t>No</t>
  </si>
  <si>
    <t>Day</t>
  </si>
  <si>
    <t>Topic Planned</t>
  </si>
  <si>
    <t>Topic Delivered</t>
  </si>
  <si>
    <t>Syllabus % Completed</t>
  </si>
  <si>
    <t>Delay Cause (if any)</t>
  </si>
  <si>
    <t>Recovery Plan</t>
  </si>
  <si>
    <t>Sun</t>
  </si>
  <si>
    <t>8B</t>
  </si>
  <si>
    <t>Algebra 1</t>
  </si>
  <si>
    <t>Mon</t>
  </si>
  <si>
    <t>Algebra 2</t>
  </si>
  <si>
    <t>0.12</t>
  </si>
  <si>
    <t>Teacher absent</t>
  </si>
  <si>
    <t>Extra class on Thursday</t>
  </si>
  <si>
    <t>Teacher Name</t>
  </si>
  <si>
    <t>Total Working Days</t>
  </si>
  <si>
    <t>Days Present</t>
  </si>
  <si>
    <t>Days Absent</t>
  </si>
  <si>
    <t>Attendance %</t>
  </si>
  <si>
    <t>Ms. A</t>
  </si>
  <si>
    <t>Excellent</t>
  </si>
  <si>
    <t>Mr. B</t>
  </si>
  <si>
    <t>Discuss with HR</t>
  </si>
  <si>
    <t>Indicator</t>
  </si>
  <si>
    <t>Target Value</t>
  </si>
  <si>
    <t>Actual Value</t>
  </si>
  <si>
    <t>Status (Met/Not Met)</t>
  </si>
  <si>
    <t>Notes</t>
  </si>
  <si>
    <t>Fee Recovery %</t>
  </si>
  <si>
    <t>Follow up with defaulters</t>
  </si>
  <si>
    <t>Transport On-Time %</t>
  </si>
  <si>
    <t>On target</t>
  </si>
  <si>
    <t>Fees Due</t>
  </si>
  <si>
    <t>Fees Paid</t>
  </si>
  <si>
    <t>Balance</t>
  </si>
  <si>
    <t>Parent Contacted?</t>
  </si>
  <si>
    <t>9A</t>
  </si>
  <si>
    <t>Promised to pay on 17 Oct</t>
  </si>
  <si>
    <t>Ticket No</t>
  </si>
  <si>
    <t>Issue Details</t>
  </si>
  <si>
    <t>Location</t>
  </si>
  <si>
    <t>Reported By</t>
  </si>
  <si>
    <t>Date Reported</t>
  </si>
  <si>
    <t>Status</t>
  </si>
  <si>
    <t>Date Resolved</t>
  </si>
  <si>
    <t>Resolution Days</t>
  </si>
  <si>
    <t>0012</t>
  </si>
  <si>
    <t>Broken window</t>
  </si>
  <si>
    <t>Grade 7</t>
  </si>
  <si>
    <t>Teacher</t>
  </si>
  <si>
    <t>2025-10-06</t>
  </si>
  <si>
    <t>Closed</t>
  </si>
  <si>
    <t>2025-10-07</t>
  </si>
  <si>
    <t>Completed</t>
  </si>
  <si>
    <t>0013</t>
  </si>
  <si>
    <t>Water leakage</t>
  </si>
  <si>
    <t>Lab</t>
  </si>
  <si>
    <t>HOD</t>
  </si>
  <si>
    <t>2025-10-10</t>
  </si>
  <si>
    <t>Open</t>
  </si>
  <si>
    <t>Plumber scheduled</t>
  </si>
  <si>
    <t>Category</t>
  </si>
  <si>
    <t>Average Score (1-10)</t>
  </si>
  <si>
    <t>Target Score (1-10)</t>
  </si>
  <si>
    <t>Teacher Satisfaction</t>
  </si>
  <si>
    <t>Resource constraints</t>
  </si>
  <si>
    <t>Student Satisfaction</t>
  </si>
  <si>
    <t>Discipline issues</t>
  </si>
  <si>
    <t>Target</t>
  </si>
  <si>
    <t>Actual</t>
  </si>
  <si>
    <t>New Partnerships per Term</t>
  </si>
  <si>
    <t>Need to approach more NGOs</t>
  </si>
  <si>
    <t>New Programs per Year</t>
  </si>
  <si>
    <t>Community Upskilling per Term</t>
  </si>
  <si>
    <t>Increase parent outreach</t>
  </si>
  <si>
    <t>Partner Organization</t>
  </si>
  <si>
    <t>Type (NGO/Corporate)</t>
  </si>
  <si>
    <t>Contact Person</t>
  </si>
  <si>
    <t>Stage (Initial/Negotiation/Signed)</t>
  </si>
  <si>
    <t>Expected Outcome</t>
  </si>
  <si>
    <t>Robotex</t>
  </si>
  <si>
    <t>NGO</t>
  </si>
  <si>
    <t>Mr. X</t>
  </si>
  <si>
    <t>Signed</t>
  </si>
  <si>
    <t>Robotics training for 50 students</t>
  </si>
  <si>
    <t>Excellent response</t>
  </si>
  <si>
    <t>Metric</t>
  </si>
  <si>
    <t>Formula/Description</t>
  </si>
  <si>
    <t>Value</t>
  </si>
  <si>
    <t>Average Value-Added %</t>
  </si>
  <si>
    <t>AVERAGE of Learning_KPI!G2:G100</t>
  </si>
  <si>
    <t>% High-Risk Students</t>
  </si>
  <si>
    <t>COUNTIF(Final&lt;40)/Total</t>
  </si>
  <si>
    <t>S.No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</si>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</sst>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0"/>
  <sheetViews>
    <sheetView workbookViewId="0">
      <selection activeCell="B9" sqref="B9"/>
    </sheetView>
  </sheetViews>
  <sheetFormatPr defaultRowHeight="14.4" x14ac:dyDescent="0.3"/>
  <cols>
    <col min="2" max="2" width="14" customWidth="1"/>
    <col min="3" max="3" width="7" customWidth="1"/>
    <col min="4" max="4" width="9" customWidth="1"/>
    <col min="5" max="6" width="16" customWidth="1"/>
    <col min="7" max="7" width="13" customWidth="1"/>
    <col min="8" max="8" width="25" customWidth="1"/>
    <col min="9" max="9" width="23" customWidth="1"/>
    <col min="10" max="10" width="29" customWidth="1"/>
  </cols>
  <sheetData>
    <row r="2" spans="1:10" x14ac:dyDescent="0.3">
      <c r="A2" s="2" t="s">
        <v>126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3">
      <c r="A3" s="1">
        <v>1</v>
      </c>
      <c r="B3" s="1" t="s">
        <v>9</v>
      </c>
      <c r="C3" s="1" t="s">
        <v>10</v>
      </c>
      <c r="D3" s="1" t="s">
        <v>11</v>
      </c>
      <c r="E3" s="1">
        <v>42</v>
      </c>
      <c r="F3" s="1">
        <v>55</v>
      </c>
      <c r="G3" s="1">
        <v>67</v>
      </c>
      <c r="H3" s="1">
        <f>IF(E3&gt;0,(G3-E3)/E3,"")</f>
        <v>0.59523809523809523</v>
      </c>
      <c r="I3" s="1" t="str">
        <f>IF(G3&lt;40,"Yes","No")</f>
        <v>No</v>
      </c>
      <c r="J3" s="1" t="s">
        <v>12</v>
      </c>
    </row>
    <row r="4" spans="1:10" x14ac:dyDescent="0.3">
      <c r="A4" s="1">
        <v>2</v>
      </c>
      <c r="B4" s="1" t="s">
        <v>13</v>
      </c>
      <c r="C4" s="1" t="s">
        <v>10</v>
      </c>
      <c r="D4" s="1" t="s">
        <v>11</v>
      </c>
      <c r="E4" s="1">
        <v>38</v>
      </c>
      <c r="F4" s="1">
        <v>40</v>
      </c>
      <c r="G4" s="1">
        <v>43</v>
      </c>
      <c r="H4" s="1">
        <f>IF(E4&gt;0,(G4-E4)/E4,"")</f>
        <v>0.13157894736842105</v>
      </c>
      <c r="I4" s="1" t="str">
        <f>IF(G4&lt;40,"Yes","No")</f>
        <v>No</v>
      </c>
      <c r="J4" s="1" t="s">
        <v>14</v>
      </c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3"/>
  <sheetViews>
    <sheetView workbookViewId="0">
      <selection activeCell="B10" sqref="B10"/>
    </sheetView>
  </sheetViews>
  <sheetFormatPr defaultRowHeight="14.4" x14ac:dyDescent="0.3"/>
  <cols>
    <col min="2" max="2" width="14" customWidth="1"/>
    <col min="3" max="3" width="7" customWidth="1"/>
    <col min="4" max="4" width="11" customWidth="1"/>
    <col min="5" max="5" width="22" customWidth="1"/>
    <col min="6" max="6" width="29" customWidth="1"/>
    <col min="7" max="7" width="28" customWidth="1"/>
    <col min="8" max="8" width="19" customWidth="1"/>
    <col min="9" max="9" width="15" customWidth="1"/>
    <col min="10" max="10" width="17" customWidth="1"/>
  </cols>
  <sheetData>
    <row r="2" spans="1:10" x14ac:dyDescent="0.3">
      <c r="A2" s="2" t="s">
        <v>127</v>
      </c>
      <c r="B2" s="2" t="s">
        <v>0</v>
      </c>
      <c r="C2" s="2" t="s">
        <v>1</v>
      </c>
      <c r="D2" s="2" t="s">
        <v>2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</row>
    <row r="3" spans="1:10" x14ac:dyDescent="0.3">
      <c r="A3" s="1">
        <v>1</v>
      </c>
      <c r="B3" s="1" t="s">
        <v>9</v>
      </c>
      <c r="C3" s="1" t="s">
        <v>10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75</v>
      </c>
      <c r="J3" s="1" t="s">
        <v>26</v>
      </c>
    </row>
    <row r="4" spans="1:10" x14ac:dyDescent="0.3">
      <c r="A4" s="1">
        <v>2</v>
      </c>
      <c r="B4" s="1" t="s">
        <v>13</v>
      </c>
      <c r="C4" s="1" t="s">
        <v>10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>
        <v>48</v>
      </c>
      <c r="J4" s="1" t="s">
        <v>32</v>
      </c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workbookViewId="0">
      <selection activeCell="H4" sqref="H4"/>
    </sheetView>
  </sheetViews>
  <sheetFormatPr defaultRowHeight="14.4" x14ac:dyDescent="0.3"/>
  <cols>
    <col min="2" max="2" width="5" customWidth="1"/>
    <col min="3" max="3" width="7" customWidth="1"/>
    <col min="4" max="4" width="9" customWidth="1"/>
    <col min="5" max="5" width="15" customWidth="1"/>
    <col min="6" max="6" width="17" customWidth="1"/>
    <col min="7" max="8" width="22" customWidth="1"/>
    <col min="9" max="9" width="25" customWidth="1"/>
  </cols>
  <sheetData>
    <row r="2" spans="1:9" x14ac:dyDescent="0.3">
      <c r="A2" s="1" t="s">
        <v>127</v>
      </c>
      <c r="B2" s="2" t="s">
        <v>33</v>
      </c>
      <c r="C2" s="2" t="s">
        <v>1</v>
      </c>
      <c r="D2" s="2" t="s">
        <v>2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</row>
    <row r="3" spans="1:9" x14ac:dyDescent="0.3">
      <c r="A3" s="1">
        <v>1</v>
      </c>
      <c r="B3" s="1" t="s">
        <v>39</v>
      </c>
      <c r="C3" s="1" t="s">
        <v>40</v>
      </c>
      <c r="D3" s="1" t="s">
        <v>21</v>
      </c>
      <c r="E3" s="1" t="s">
        <v>41</v>
      </c>
      <c r="F3" s="1" t="s">
        <v>41</v>
      </c>
      <c r="G3" s="3">
        <v>0.12</v>
      </c>
      <c r="H3" s="1"/>
      <c r="I3" s="1"/>
    </row>
    <row r="4" spans="1:9" x14ac:dyDescent="0.3">
      <c r="A4" s="1">
        <v>2</v>
      </c>
      <c r="B4" s="1" t="s">
        <v>42</v>
      </c>
      <c r="C4" s="1" t="s">
        <v>40</v>
      </c>
      <c r="D4" s="1" t="s">
        <v>21</v>
      </c>
      <c r="E4" s="1" t="s">
        <v>43</v>
      </c>
      <c r="F4" s="1"/>
      <c r="G4" s="3" t="s">
        <v>44</v>
      </c>
      <c r="H4" s="1" t="s">
        <v>45</v>
      </c>
      <c r="I4" s="1" t="s">
        <v>46</v>
      </c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2"/>
  <sheetViews>
    <sheetView workbookViewId="0">
      <selection activeCell="L25" sqref="L25"/>
    </sheetView>
  </sheetViews>
  <sheetFormatPr defaultRowHeight="14.4" x14ac:dyDescent="0.3"/>
  <cols>
    <col min="2" max="2" width="14" customWidth="1"/>
    <col min="3" max="3" width="20" customWidth="1"/>
    <col min="4" max="4" width="14" customWidth="1"/>
    <col min="5" max="5" width="13" customWidth="1"/>
    <col min="6" max="6" width="20" customWidth="1"/>
    <col min="7" max="7" width="17" customWidth="1"/>
  </cols>
  <sheetData>
    <row r="2" spans="1:7" x14ac:dyDescent="0.3">
      <c r="A2" s="2" t="s">
        <v>127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8</v>
      </c>
    </row>
    <row r="3" spans="1:7" x14ac:dyDescent="0.3">
      <c r="A3" s="1">
        <v>1</v>
      </c>
      <c r="B3" s="1" t="s">
        <v>52</v>
      </c>
      <c r="C3" s="1">
        <v>22</v>
      </c>
      <c r="D3" s="1">
        <v>22</v>
      </c>
      <c r="E3" s="1">
        <v>0</v>
      </c>
      <c r="F3" s="3">
        <f>IF(C3&gt;0,D3/C3,"")</f>
        <v>1</v>
      </c>
      <c r="G3" s="1" t="s">
        <v>53</v>
      </c>
    </row>
    <row r="4" spans="1:7" x14ac:dyDescent="0.3">
      <c r="A4" s="1">
        <v>2</v>
      </c>
      <c r="B4" s="1" t="s">
        <v>54</v>
      </c>
      <c r="C4" s="1">
        <v>22</v>
      </c>
      <c r="D4" s="1">
        <v>19</v>
      </c>
      <c r="E4" s="1">
        <v>3</v>
      </c>
      <c r="F4" s="3">
        <f>IF(C4&gt;0,D4/C4,"")</f>
        <v>0.86363636363636365</v>
      </c>
      <c r="G4" s="1" t="s">
        <v>55</v>
      </c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1"/>
      <c r="B30" s="1"/>
      <c r="C30" s="1"/>
      <c r="D30" s="1"/>
      <c r="E30" s="1"/>
      <c r="F30" s="1"/>
      <c r="G30" s="1"/>
    </row>
    <row r="31" spans="1:7" x14ac:dyDescent="0.3">
      <c r="A31" s="1"/>
      <c r="B31" s="1"/>
      <c r="C31" s="1"/>
      <c r="D31" s="1"/>
      <c r="E31" s="1"/>
      <c r="F31" s="1"/>
      <c r="G31" s="1"/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/>
      <c r="B42" s="1"/>
      <c r="C42" s="1"/>
      <c r="D42" s="1"/>
      <c r="E42" s="1"/>
      <c r="F42" s="1"/>
      <c r="G42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2"/>
  <sheetViews>
    <sheetView workbookViewId="0">
      <selection activeCell="I23" sqref="I23"/>
    </sheetView>
  </sheetViews>
  <sheetFormatPr defaultRowHeight="14.4" x14ac:dyDescent="0.3"/>
  <cols>
    <col min="2" max="2" width="21" customWidth="1"/>
    <col min="3" max="4" width="14" customWidth="1"/>
    <col min="5" max="5" width="29" customWidth="1"/>
    <col min="6" max="6" width="27" customWidth="1"/>
  </cols>
  <sheetData>
    <row r="2" spans="1:6" x14ac:dyDescent="0.3">
      <c r="A2" s="2" t="s">
        <v>127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</row>
    <row r="3" spans="1:6" x14ac:dyDescent="0.3">
      <c r="A3" s="1">
        <v>1</v>
      </c>
      <c r="B3" s="1" t="s">
        <v>61</v>
      </c>
      <c r="C3" s="3">
        <v>0.9</v>
      </c>
      <c r="D3" s="3">
        <v>0.86</v>
      </c>
      <c r="E3" s="1" t="str">
        <f>IF(D3&gt;=C3,"Met","Not Met")</f>
        <v>Not Met</v>
      </c>
      <c r="F3" s="1" t="s">
        <v>62</v>
      </c>
    </row>
    <row r="4" spans="1:6" x14ac:dyDescent="0.3">
      <c r="A4" s="1">
        <v>2</v>
      </c>
      <c r="B4" s="1" t="s">
        <v>63</v>
      </c>
      <c r="C4" s="3">
        <v>0.98</v>
      </c>
      <c r="D4" s="3">
        <v>0.98</v>
      </c>
      <c r="E4" s="1" t="str">
        <f>IF(D4&gt;=C4,"Met","Not Met")</f>
        <v>Met</v>
      </c>
      <c r="F4" s="1" t="s">
        <v>64</v>
      </c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2"/>
  <sheetViews>
    <sheetView workbookViewId="0">
      <selection activeCell="H31" sqref="H31"/>
    </sheetView>
  </sheetViews>
  <sheetFormatPr defaultRowHeight="14.4" x14ac:dyDescent="0.3"/>
  <cols>
    <col min="2" max="2" width="14" customWidth="1"/>
    <col min="3" max="3" width="7" customWidth="1"/>
    <col min="4" max="4" width="10" customWidth="1"/>
    <col min="5" max="5" width="11" customWidth="1"/>
    <col min="6" max="6" width="9" customWidth="1"/>
    <col min="7" max="7" width="19" customWidth="1"/>
    <col min="8" max="8" width="27" customWidth="1"/>
  </cols>
  <sheetData>
    <row r="2" spans="1:8" x14ac:dyDescent="0.3">
      <c r="A2" s="2" t="s">
        <v>126</v>
      </c>
      <c r="B2" s="2" t="s">
        <v>0</v>
      </c>
      <c r="C2" s="2" t="s">
        <v>1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60</v>
      </c>
    </row>
    <row r="3" spans="1:8" x14ac:dyDescent="0.3">
      <c r="A3" s="1">
        <v>1</v>
      </c>
      <c r="B3" s="1" t="s">
        <v>9</v>
      </c>
      <c r="C3" s="1" t="s">
        <v>69</v>
      </c>
      <c r="D3" s="1">
        <v>45</v>
      </c>
      <c r="E3" s="1">
        <v>45</v>
      </c>
      <c r="F3" s="1">
        <f>D3-E3</f>
        <v>0</v>
      </c>
      <c r="G3" s="1"/>
      <c r="H3" s="1"/>
    </row>
    <row r="4" spans="1:8" x14ac:dyDescent="0.3">
      <c r="A4" s="1">
        <v>2</v>
      </c>
      <c r="B4" s="1" t="s">
        <v>13</v>
      </c>
      <c r="C4" s="1" t="s">
        <v>69</v>
      </c>
      <c r="D4" s="1">
        <v>45</v>
      </c>
      <c r="E4" s="1">
        <v>20</v>
      </c>
      <c r="F4" s="1">
        <f>D4-E4</f>
        <v>25</v>
      </c>
      <c r="G4" s="1" t="s">
        <v>26</v>
      </c>
      <c r="H4" s="1" t="s">
        <v>70</v>
      </c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2"/>
  <sheetViews>
    <sheetView workbookViewId="0">
      <selection activeCell="I21" sqref="I21"/>
    </sheetView>
  </sheetViews>
  <sheetFormatPr defaultRowHeight="14.4" x14ac:dyDescent="0.3"/>
  <cols>
    <col min="2" max="3" width="22" customWidth="1"/>
    <col min="4" max="4" width="21" customWidth="1"/>
    <col min="5" max="5" width="29" customWidth="1"/>
    <col min="6" max="6" width="22" customWidth="1"/>
  </cols>
  <sheetData>
    <row r="2" spans="1:6" x14ac:dyDescent="0.3">
      <c r="A2" s="2" t="s">
        <v>126</v>
      </c>
      <c r="B2" s="2" t="s">
        <v>94</v>
      </c>
      <c r="C2" s="2" t="s">
        <v>95</v>
      </c>
      <c r="D2" s="2" t="s">
        <v>96</v>
      </c>
      <c r="E2" s="2" t="s">
        <v>59</v>
      </c>
      <c r="F2" s="2" t="s">
        <v>60</v>
      </c>
    </row>
    <row r="3" spans="1:6" x14ac:dyDescent="0.3">
      <c r="A3" s="1">
        <v>1</v>
      </c>
      <c r="B3" s="1" t="s">
        <v>97</v>
      </c>
      <c r="C3" s="1">
        <v>7.8</v>
      </c>
      <c r="D3" s="1">
        <v>8.5</v>
      </c>
      <c r="E3" s="1" t="str">
        <f>IF(C3&gt;=D3,"Met","Not Met")</f>
        <v>Not Met</v>
      </c>
      <c r="F3" s="1" t="s">
        <v>98</v>
      </c>
    </row>
    <row r="4" spans="1:6" x14ac:dyDescent="0.3">
      <c r="A4" s="1">
        <v>2</v>
      </c>
      <c r="B4" s="1" t="s">
        <v>99</v>
      </c>
      <c r="C4" s="1">
        <v>8.1</v>
      </c>
      <c r="D4" s="1">
        <v>8.5</v>
      </c>
      <c r="E4" s="1" t="str">
        <f>IF(C4&gt;=D4,"Met","Not Met")</f>
        <v>Not Met</v>
      </c>
      <c r="F4" s="1" t="s">
        <v>100</v>
      </c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2"/>
  <sheetViews>
    <sheetView workbookViewId="0">
      <selection activeCell="B8" sqref="B8"/>
    </sheetView>
  </sheetViews>
  <sheetFormatPr defaultRowHeight="14.4" x14ac:dyDescent="0.3"/>
  <cols>
    <col min="2" max="2" width="11" customWidth="1"/>
    <col min="3" max="3" width="15" customWidth="1"/>
    <col min="4" max="4" width="10" customWidth="1"/>
    <col min="5" max="5" width="13" customWidth="1"/>
    <col min="6" max="6" width="15" customWidth="1"/>
    <col min="7" max="7" width="8" customWidth="1"/>
    <col min="8" max="8" width="15" customWidth="1"/>
    <col min="9" max="9" width="27" customWidth="1"/>
    <col min="10" max="10" width="19" customWidth="1"/>
  </cols>
  <sheetData>
    <row r="2" spans="1:10" x14ac:dyDescent="0.3">
      <c r="A2" s="2" t="s">
        <v>127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8</v>
      </c>
    </row>
    <row r="3" spans="1:10" x14ac:dyDescent="0.3">
      <c r="A3" s="1">
        <v>1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83</v>
      </c>
      <c r="G3" s="1" t="s">
        <v>84</v>
      </c>
      <c r="H3" s="1" t="s">
        <v>85</v>
      </c>
      <c r="I3" s="1">
        <f>IF(G3="Closed",H3-F3,"")</f>
        <v>1</v>
      </c>
      <c r="J3" s="1" t="s">
        <v>86</v>
      </c>
    </row>
    <row r="4" spans="1:10" x14ac:dyDescent="0.3">
      <c r="A4" s="1">
        <v>2</v>
      </c>
      <c r="B4" s="1" t="s">
        <v>87</v>
      </c>
      <c r="C4" s="1" t="s">
        <v>88</v>
      </c>
      <c r="D4" s="1" t="s">
        <v>89</v>
      </c>
      <c r="E4" s="1" t="s">
        <v>90</v>
      </c>
      <c r="F4" s="1" t="s">
        <v>91</v>
      </c>
      <c r="G4" s="1" t="s">
        <v>92</v>
      </c>
      <c r="H4" s="1"/>
      <c r="I4" s="1" t="str">
        <f>IF(G4="Closed",H4-F4,"")</f>
        <v/>
      </c>
      <c r="J4" s="1" t="s">
        <v>93</v>
      </c>
    </row>
    <row r="5" spans="1:10" x14ac:dyDescent="0.3">
      <c r="A5" s="1">
        <v>3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2"/>
  <sheetViews>
    <sheetView topLeftCell="A4" workbookViewId="0">
      <selection activeCell="K24" sqref="K24"/>
    </sheetView>
  </sheetViews>
  <sheetFormatPr defaultRowHeight="14.4" x14ac:dyDescent="0.3"/>
  <cols>
    <col min="2" max="3" width="22" customWidth="1"/>
    <col min="4" max="4" width="16" customWidth="1"/>
    <col min="5" max="5" width="36" customWidth="1"/>
    <col min="6" max="6" width="35" customWidth="1"/>
    <col min="7" max="7" width="20" customWidth="1"/>
  </cols>
  <sheetData>
    <row r="2" spans="1:7" x14ac:dyDescent="0.3">
      <c r="A2" s="2" t="s">
        <v>126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  <c r="G2" s="2" t="s">
        <v>60</v>
      </c>
    </row>
    <row r="3" spans="1:7" x14ac:dyDescent="0.3">
      <c r="A3" s="1">
        <v>1</v>
      </c>
      <c r="B3" s="1" t="s">
        <v>113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</row>
    <row r="4" spans="1:7" x14ac:dyDescent="0.3">
      <c r="A4" s="1">
        <v>2</v>
      </c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1"/>
      <c r="B30" s="1"/>
      <c r="C30" s="1"/>
      <c r="D30" s="1"/>
      <c r="E30" s="1"/>
      <c r="F30" s="1"/>
      <c r="G30" s="1"/>
    </row>
    <row r="31" spans="1:7" x14ac:dyDescent="0.3">
      <c r="A31" s="1"/>
      <c r="B31" s="1"/>
      <c r="C31" s="1"/>
      <c r="D31" s="1"/>
      <c r="E31" s="1"/>
      <c r="F31" s="1"/>
      <c r="G31" s="1"/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/>
      <c r="B42" s="1"/>
      <c r="C42" s="1"/>
      <c r="D42" s="1"/>
      <c r="E42" s="1"/>
      <c r="F42" s="1"/>
      <c r="G42" s="1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3"/>
  <sheetViews>
    <sheetView topLeftCell="A4" workbookViewId="0">
      <selection activeCell="H26" sqref="H26"/>
    </sheetView>
  </sheetViews>
  <sheetFormatPr defaultRowHeight="14.4" x14ac:dyDescent="0.3"/>
  <cols>
    <col min="2" max="2" width="31" customWidth="1"/>
    <col min="3" max="4" width="8" customWidth="1"/>
    <col min="5" max="5" width="29" customWidth="1"/>
    <col min="6" max="6" width="28" customWidth="1"/>
  </cols>
  <sheetData>
    <row r="2" spans="1:6" x14ac:dyDescent="0.3">
      <c r="A2" s="1" t="s">
        <v>127</v>
      </c>
      <c r="B2" s="2" t="s">
        <v>56</v>
      </c>
      <c r="C2" s="2" t="s">
        <v>101</v>
      </c>
      <c r="D2" s="2" t="s">
        <v>102</v>
      </c>
      <c r="E2" s="2" t="s">
        <v>59</v>
      </c>
      <c r="F2" s="2" t="s">
        <v>8</v>
      </c>
    </row>
    <row r="3" spans="1:6" x14ac:dyDescent="0.3">
      <c r="A3" s="1">
        <v>1</v>
      </c>
      <c r="B3" s="1" t="s">
        <v>103</v>
      </c>
      <c r="C3" s="1">
        <v>2</v>
      </c>
      <c r="D3" s="1">
        <v>1</v>
      </c>
      <c r="E3" s="1" t="str">
        <f>IF(D3&gt;=C3,"Met","Not Met")</f>
        <v>Not Met</v>
      </c>
      <c r="F3" s="1" t="s">
        <v>104</v>
      </c>
    </row>
    <row r="4" spans="1:6" x14ac:dyDescent="0.3">
      <c r="A4" s="1">
        <v>2</v>
      </c>
      <c r="B4" s="1" t="s">
        <v>105</v>
      </c>
      <c r="C4" s="1">
        <v>1</v>
      </c>
      <c r="D4" s="1">
        <v>1</v>
      </c>
      <c r="E4" s="1" t="str">
        <f>IF(D4&gt;=C4,"Met","Not Met")</f>
        <v>Met</v>
      </c>
      <c r="F4" s="1" t="s">
        <v>64</v>
      </c>
    </row>
    <row r="5" spans="1:6" x14ac:dyDescent="0.3">
      <c r="A5" s="1">
        <v>3</v>
      </c>
      <c r="B5" s="1" t="s">
        <v>106</v>
      </c>
      <c r="C5" s="1">
        <v>50</v>
      </c>
      <c r="D5" s="1">
        <v>32</v>
      </c>
      <c r="E5" s="1" t="str">
        <f>IF(D5&gt;=C5,"Met","Not Met")</f>
        <v>Not Met</v>
      </c>
      <c r="F5" s="1" t="s">
        <v>107</v>
      </c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2"/>
  <sheetViews>
    <sheetView tabSelected="1" workbookViewId="0">
      <selection activeCell="F20" sqref="F20"/>
    </sheetView>
  </sheetViews>
  <sheetFormatPr defaultRowHeight="14.4" x14ac:dyDescent="0.3"/>
  <cols>
    <col min="2" max="2" width="23" customWidth="1"/>
    <col min="3" max="3" width="33" customWidth="1"/>
    <col min="4" max="4" width="105" customWidth="1"/>
  </cols>
  <sheetData>
    <row r="2" spans="1:4" x14ac:dyDescent="0.3">
      <c r="A2" s="2" t="s">
        <v>126</v>
      </c>
      <c r="B2" s="2" t="s">
        <v>119</v>
      </c>
      <c r="C2" s="2" t="s">
        <v>120</v>
      </c>
      <c r="D2" s="2" t="s">
        <v>121</v>
      </c>
    </row>
    <row r="3" spans="1:4" x14ac:dyDescent="0.3">
      <c r="A3" s="1">
        <v>1</v>
      </c>
      <c r="B3" s="1" t="s">
        <v>122</v>
      </c>
      <c r="C3" s="1" t="s">
        <v>123</v>
      </c>
      <c r="D3" s="1">
        <f>AVERAGE(Learning_KPI!H3:H101)</f>
        <v>0.36340852130325813</v>
      </c>
    </row>
    <row r="4" spans="1:4" x14ac:dyDescent="0.3">
      <c r="A4" s="1">
        <v>2</v>
      </c>
      <c r="B4" s="1" t="s">
        <v>124</v>
      </c>
      <c r="C4" s="1" t="s">
        <v>125</v>
      </c>
      <c r="D4" s="1">
        <f>IF(COUNTA(Learning_KPI!G3:G101)&gt;0,COUNTIF(Learning_KPI!G3:G101,"&lt;40")/COUNTA(Learning_KPI!G3:G101),"")</f>
        <v>0</v>
      </c>
    </row>
    <row r="5" spans="1:4" x14ac:dyDescent="0.3">
      <c r="A5" s="1"/>
      <c r="B5" s="1"/>
      <c r="C5" s="1"/>
      <c r="D5" s="1">
        <f>IF(COUNTA(Learning_KPI!G4:G102)&gt;0,COUNTIF(Learning_KPI!G4:G102,"&lt;40")/COUNTA(Learning_KPI!G4:G102),"")</f>
        <v>0</v>
      </c>
    </row>
    <row r="6" spans="1:4" x14ac:dyDescent="0.3">
      <c r="A6" s="1"/>
      <c r="B6" s="1"/>
      <c r="C6" s="1"/>
      <c r="D6" s="1" t="str">
        <f>IF(COUNTA(Learning_KPI!G5:G103)&gt;0,COUNTIF(Learning_KPI!G5:G103,"&lt;40")/COUNTA(Learning_KPI!G5:G103),"")</f>
        <v/>
      </c>
    </row>
    <row r="7" spans="1:4" x14ac:dyDescent="0.3">
      <c r="A7" s="1"/>
      <c r="B7" s="1"/>
      <c r="C7" s="1"/>
      <c r="D7" s="1" t="str">
        <f>IF(COUNTA(Learning_KPI!G6:G104)&gt;0,COUNTIF(Learning_KPI!G6:G104,"&lt;40")/COUNTA(Learning_KPI!G6:G104),"")</f>
        <v/>
      </c>
    </row>
    <row r="8" spans="1:4" x14ac:dyDescent="0.3">
      <c r="A8" s="1"/>
      <c r="B8" s="1"/>
      <c r="C8" s="1"/>
      <c r="D8" s="1" t="str">
        <f>IF(COUNTA(Learning_KPI!G7:G105)&gt;0,COUNTIF(Learning_KPI!G7:G105,"&lt;40")/COUNTA(Learning_KPI!G7:G105),"")</f>
        <v/>
      </c>
    </row>
    <row r="9" spans="1:4" x14ac:dyDescent="0.3">
      <c r="A9" s="1"/>
      <c r="B9" s="1"/>
      <c r="C9" s="1"/>
      <c r="D9" s="1" t="str">
        <f>IF(COUNTA(Learning_KPI!G8:G106)&gt;0,COUNTIF(Learning_KPI!G8:G106,"&lt;40")/COUNTA(Learning_KPI!G8:G106),"")</f>
        <v/>
      </c>
    </row>
    <row r="10" spans="1:4" x14ac:dyDescent="0.3">
      <c r="A10" s="1"/>
      <c r="B10" s="1"/>
      <c r="C10" s="1"/>
      <c r="D10" s="1" t="str">
        <f>IF(COUNTA(Learning_KPI!G9:G107)&gt;0,COUNTIF(Learning_KPI!G9:G107,"&lt;40")/COUNTA(Learning_KPI!G9:G107),"")</f>
        <v/>
      </c>
    </row>
    <row r="11" spans="1:4" x14ac:dyDescent="0.3">
      <c r="A11" s="1"/>
      <c r="B11" s="1"/>
      <c r="C11" s="1"/>
      <c r="D11" s="1" t="str">
        <f>IF(COUNTA(Learning_KPI!G10:G108)&gt;0,COUNTIF(Learning_KPI!G10:G108,"&lt;40")/COUNTA(Learning_KPI!G10:G108),"")</f>
        <v/>
      </c>
    </row>
    <row r="12" spans="1:4" x14ac:dyDescent="0.3">
      <c r="A12" s="1"/>
      <c r="B12" s="1"/>
      <c r="C12" s="1"/>
      <c r="D12" s="1" t="str">
        <f>IF(COUNTA(Learning_KPI!G11:G109)&gt;0,COUNTIF(Learning_KPI!G11:G109,"&lt;40")/COUNTA(Learning_KPI!G11:G109),"")</f>
        <v/>
      </c>
    </row>
    <row r="13" spans="1:4" x14ac:dyDescent="0.3">
      <c r="A13" s="1"/>
      <c r="B13" s="1"/>
      <c r="C13" s="1"/>
      <c r="D13" s="1" t="str">
        <f>IF(COUNTA(Learning_KPI!G12:G110)&gt;0,COUNTIF(Learning_KPI!G12:G110,"&lt;40")/COUNTA(Learning_KPI!G12:G110),"")</f>
        <v/>
      </c>
    </row>
    <row r="14" spans="1:4" x14ac:dyDescent="0.3">
      <c r="A14" s="1"/>
      <c r="B14" s="1"/>
      <c r="C14" s="1"/>
      <c r="D14" s="1" t="str">
        <f>IF(COUNTA(Learning_KPI!G13:G111)&gt;0,COUNTIF(Learning_KPI!G13:G111,"&lt;40")/COUNTA(Learning_KPI!G13:G111),"")</f>
        <v/>
      </c>
    </row>
    <row r="15" spans="1:4" x14ac:dyDescent="0.3">
      <c r="A15" s="1"/>
      <c r="B15" s="1"/>
      <c r="C15" s="1"/>
      <c r="D15" s="1" t="str">
        <f>IF(COUNTA(Learning_KPI!G14:G112)&gt;0,COUNTIF(Learning_KPI!G14:G112,"&lt;40")/COUNTA(Learning_KPI!G14:G112),"")</f>
        <v/>
      </c>
    </row>
    <row r="16" spans="1:4" x14ac:dyDescent="0.3">
      <c r="A16" s="1"/>
      <c r="B16" s="1"/>
      <c r="C16" s="1"/>
      <c r="D16" s="1" t="str">
        <f>IF(COUNTA(Learning_KPI!G15:G113)&gt;0,COUNTIF(Learning_KPI!G15:G113,"&lt;40")/COUNTA(Learning_KPI!G15:G113),"")</f>
        <v/>
      </c>
    </row>
    <row r="17" spans="1:4" x14ac:dyDescent="0.3">
      <c r="A17" s="1"/>
      <c r="B17" s="1"/>
      <c r="C17" s="1"/>
      <c r="D17" s="1" t="str">
        <f>IF(COUNTA(Learning_KPI!G16:G114)&gt;0,COUNTIF(Learning_KPI!G16:G114,"&lt;40")/COUNTA(Learning_KPI!G16:G114),"")</f>
        <v/>
      </c>
    </row>
    <row r="18" spans="1:4" x14ac:dyDescent="0.3">
      <c r="A18" s="1"/>
      <c r="B18" s="1"/>
      <c r="C18" s="1"/>
      <c r="D18" s="1" t="str">
        <f>IF(COUNTA(Learning_KPI!G17:G115)&gt;0,COUNTIF(Learning_KPI!G17:G115,"&lt;40")/COUNTA(Learning_KPI!G17:G115),"")</f>
        <v/>
      </c>
    </row>
    <row r="19" spans="1:4" x14ac:dyDescent="0.3">
      <c r="A19" s="1"/>
      <c r="B19" s="1"/>
      <c r="C19" s="1"/>
      <c r="D19" s="1" t="str">
        <f>IF(COUNTA(Learning_KPI!G18:G116)&gt;0,COUNTIF(Learning_KPI!G18:G116,"&lt;40")/COUNTA(Learning_KPI!G18:G116),"")</f>
        <v/>
      </c>
    </row>
    <row r="20" spans="1:4" x14ac:dyDescent="0.3">
      <c r="A20" s="1"/>
      <c r="B20" s="1"/>
      <c r="C20" s="1"/>
      <c r="D20" s="1" t="str">
        <f>IF(COUNTA(Learning_KPI!G19:G117)&gt;0,COUNTIF(Learning_KPI!G19:G117,"&lt;40")/COUNTA(Learning_KPI!G19:G117),"")</f>
        <v/>
      </c>
    </row>
    <row r="21" spans="1:4" x14ac:dyDescent="0.3">
      <c r="A21" s="1"/>
      <c r="B21" s="1"/>
      <c r="C21" s="1"/>
      <c r="D21" s="1" t="str">
        <f>IF(COUNTA(Learning_KPI!G20:G118)&gt;0,COUNTIF(Learning_KPI!G20:G118,"&lt;40")/COUNTA(Learning_KPI!G20:G118),"")</f>
        <v/>
      </c>
    </row>
    <row r="22" spans="1:4" x14ac:dyDescent="0.3">
      <c r="A22" s="1"/>
      <c r="B22" s="1"/>
      <c r="C22" s="1"/>
      <c r="D22" s="1" t="str">
        <f>IF(COUNTA(Learning_KPI!G21:G119)&gt;0,COUNTIF(Learning_KPI!G21:G119,"&lt;40")/COUNTA(Learning_KPI!G21:G119),"")</f>
        <v/>
      </c>
    </row>
    <row r="23" spans="1:4" x14ac:dyDescent="0.3">
      <c r="A23" s="1"/>
      <c r="B23" s="1"/>
      <c r="C23" s="1"/>
      <c r="D23" s="1" t="str">
        <f>IF(COUNTA(Learning_KPI!G22:G120)&gt;0,COUNTIF(Learning_KPI!G22:G120,"&lt;40")/COUNTA(Learning_KPI!G22:G120),"")</f>
        <v/>
      </c>
    </row>
    <row r="24" spans="1:4" x14ac:dyDescent="0.3">
      <c r="A24" s="1"/>
      <c r="B24" s="1"/>
      <c r="C24" s="1"/>
      <c r="D24" s="1" t="str">
        <f>IF(COUNTA(Learning_KPI!G23:G121)&gt;0,COUNTIF(Learning_KPI!G23:G121,"&lt;40")/COUNTA(Learning_KPI!G23:G121),"")</f>
        <v/>
      </c>
    </row>
    <row r="25" spans="1:4" x14ac:dyDescent="0.3">
      <c r="A25" s="1"/>
      <c r="B25" s="1"/>
      <c r="C25" s="1"/>
      <c r="D25" s="1" t="str">
        <f>IF(COUNTA(Learning_KPI!G24:G122)&gt;0,COUNTIF(Learning_KPI!G24:G122,"&lt;40")/COUNTA(Learning_KPI!G24:G122),"")</f>
        <v/>
      </c>
    </row>
    <row r="26" spans="1:4" x14ac:dyDescent="0.3">
      <c r="A26" s="1"/>
      <c r="B26" s="1"/>
      <c r="C26" s="1"/>
      <c r="D26" s="1" t="str">
        <f>IF(COUNTA(Learning_KPI!G25:G123)&gt;0,COUNTIF(Learning_KPI!G25:G123,"&lt;40")/COUNTA(Learning_KPI!G25:G123),"")</f>
        <v/>
      </c>
    </row>
    <row r="27" spans="1:4" x14ac:dyDescent="0.3">
      <c r="A27" s="1"/>
      <c r="B27" s="1"/>
      <c r="C27" s="1"/>
      <c r="D27" s="1" t="str">
        <f>IF(COUNTA(Learning_KPI!G26:G124)&gt;0,COUNTIF(Learning_KPI!G26:G124,"&lt;40")/COUNTA(Learning_KPI!G26:G124),"")</f>
        <v/>
      </c>
    </row>
    <row r="28" spans="1:4" x14ac:dyDescent="0.3">
      <c r="A28" s="1"/>
      <c r="B28" s="1"/>
      <c r="C28" s="1"/>
      <c r="D28" s="1" t="str">
        <f>IF(COUNTA(Learning_KPI!G27:G125)&gt;0,COUNTIF(Learning_KPI!G27:G125,"&lt;40")/COUNTA(Learning_KPI!G27:G125),"")</f>
        <v/>
      </c>
    </row>
    <row r="29" spans="1:4" x14ac:dyDescent="0.3">
      <c r="A29" s="1"/>
      <c r="B29" s="1"/>
      <c r="C29" s="1"/>
      <c r="D29" s="1" t="str">
        <f>IF(COUNTA(Learning_KPI!G28:G126)&gt;0,COUNTIF(Learning_KPI!G28:G126,"&lt;40")/COUNTA(Learning_KPI!G28:G126),"")</f>
        <v/>
      </c>
    </row>
    <row r="30" spans="1:4" x14ac:dyDescent="0.3">
      <c r="A30" s="1"/>
      <c r="B30" s="1"/>
      <c r="C30" s="1"/>
      <c r="D30" s="1" t="str">
        <f>IF(COUNTA(Learning_KPI!G29:G127)&gt;0,COUNTIF(Learning_KPI!G29:G127,"&lt;40")/COUNTA(Learning_KPI!G29:G127),"")</f>
        <v/>
      </c>
    </row>
    <row r="31" spans="1:4" x14ac:dyDescent="0.3">
      <c r="A31" s="1"/>
      <c r="B31" s="1"/>
      <c r="C31" s="1"/>
      <c r="D31" s="1" t="str">
        <f>IF(COUNTA(Learning_KPI!G30:G128)&gt;0,COUNTIF(Learning_KPI!G30:G128,"&lt;40")/COUNTA(Learning_KPI!G30:G128),"")</f>
        <v/>
      </c>
    </row>
    <row r="32" spans="1:4" x14ac:dyDescent="0.3">
      <c r="A32" s="1"/>
      <c r="B32" s="1"/>
      <c r="C32" s="1"/>
      <c r="D32" s="1" t="str">
        <f>IF(COUNTA(Learning_KPI!G31:G129)&gt;0,COUNTIF(Learning_KPI!G31:G129,"&lt;40")/COUNTA(Learning_KPI!G31:G129),"")</f>
        <v/>
      </c>
    </row>
    <row r="33" spans="1:4" x14ac:dyDescent="0.3">
      <c r="A33" s="1"/>
      <c r="B33" s="1"/>
      <c r="C33" s="1"/>
      <c r="D33" s="1" t="str">
        <f>IF(COUNTA(Learning_KPI!G32:G130)&gt;0,COUNTIF(Learning_KPI!G32:G130,"&lt;40")/COUNTA(Learning_KPI!G32:G130),"")</f>
        <v/>
      </c>
    </row>
    <row r="34" spans="1:4" x14ac:dyDescent="0.3">
      <c r="A34" s="1"/>
      <c r="B34" s="1"/>
      <c r="C34" s="1"/>
      <c r="D34" s="1" t="str">
        <f>IF(COUNTA(Learning_KPI!G33:G131)&gt;0,COUNTIF(Learning_KPI!G33:G131,"&lt;40")/COUNTA(Learning_KPI!G33:G131),"")</f>
        <v/>
      </c>
    </row>
    <row r="35" spans="1:4" x14ac:dyDescent="0.3">
      <c r="A35" s="1"/>
      <c r="B35" s="1"/>
      <c r="C35" s="1"/>
      <c r="D35" s="1" t="str">
        <f>IF(COUNTA(Learning_KPI!G34:G132)&gt;0,COUNTIF(Learning_KPI!G34:G132,"&lt;40")/COUNTA(Learning_KPI!G34:G132),"")</f>
        <v/>
      </c>
    </row>
    <row r="36" spans="1:4" x14ac:dyDescent="0.3">
      <c r="A36" s="1"/>
      <c r="B36" s="1"/>
      <c r="C36" s="1"/>
      <c r="D36" s="1" t="str">
        <f>IF(COUNTA(Learning_KPI!G35:G133)&gt;0,COUNTIF(Learning_KPI!G35:G133,"&lt;40")/COUNTA(Learning_KPI!G35:G133),"")</f>
        <v/>
      </c>
    </row>
    <row r="37" spans="1:4" x14ac:dyDescent="0.3">
      <c r="A37" s="1"/>
      <c r="B37" s="1"/>
      <c r="C37" s="1"/>
      <c r="D37" s="1" t="str">
        <f>IF(COUNTA(Learning_KPI!G36:G134)&gt;0,COUNTIF(Learning_KPI!G36:G134,"&lt;40")/COUNTA(Learning_KPI!G36:G134),"")</f>
        <v/>
      </c>
    </row>
    <row r="38" spans="1:4" x14ac:dyDescent="0.3">
      <c r="A38" s="1"/>
      <c r="B38" s="1"/>
      <c r="C38" s="1"/>
      <c r="D38" s="1" t="str">
        <f>IF(COUNTA(Learning_KPI!G37:G135)&gt;0,COUNTIF(Learning_KPI!G37:G135,"&lt;40")/COUNTA(Learning_KPI!G37:G135),"")</f>
        <v/>
      </c>
    </row>
    <row r="39" spans="1:4" x14ac:dyDescent="0.3">
      <c r="A39" s="1"/>
      <c r="B39" s="1"/>
      <c r="C39" s="1"/>
      <c r="D39" s="1" t="str">
        <f>IF(COUNTA(Learning_KPI!G38:G136)&gt;0,COUNTIF(Learning_KPI!G38:G136,"&lt;40")/COUNTA(Learning_KPI!G38:G136),"")</f>
        <v/>
      </c>
    </row>
    <row r="40" spans="1:4" x14ac:dyDescent="0.3">
      <c r="A40" s="1"/>
      <c r="B40" s="1"/>
      <c r="C40" s="1"/>
      <c r="D40" s="1" t="str">
        <f>IF(COUNTA(Learning_KPI!G39:G137)&gt;0,COUNTIF(Learning_KPI!G39:G137,"&lt;40")/COUNTA(Learning_KPI!G39:G137),"")</f>
        <v/>
      </c>
    </row>
    <row r="41" spans="1:4" x14ac:dyDescent="0.3">
      <c r="A41" s="1"/>
      <c r="B41" s="1"/>
      <c r="C41" s="1"/>
      <c r="D41" s="1" t="str">
        <f>IF(COUNTA(Learning_KPI!G40:G138)&gt;0,COUNTIF(Learning_KPI!G40:G138,"&lt;40")/COUNTA(Learning_KPI!G40:G138),"")</f>
        <v/>
      </c>
    </row>
    <row r="42" spans="1:4" x14ac:dyDescent="0.3">
      <c r="A42" s="1"/>
      <c r="B42" s="1"/>
      <c r="C42" s="1"/>
      <c r="D42" s="1" t="str">
        <f>IF(COUNTA(Learning_KPI!G41:G139)&gt;0,COUNTIF(Learning_KPI!G41:G139,"&lt;40")/COUNTA(Learning_KPI!G41:G139),"")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Learning_KPI</vt:lpstr>
      <vt:lpstr>Weak_Areas</vt:lpstr>
      <vt:lpstr>Teaching_KPI</vt:lpstr>
      <vt:lpstr>Teacher_Attendance</vt:lpstr>
      <vt:lpstr>Operations_KPI</vt:lpstr>
      <vt:lpstr>Fee_Recovery</vt:lpstr>
      <vt:lpstr>Cultural_KPI</vt:lpstr>
      <vt:lpstr>Maintenance</vt:lpstr>
      <vt:lpstr>Partnerships</vt:lpstr>
      <vt:lpstr>Growth_KPI</vt:lpstr>
      <vt:lpstr>Learning_Summary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waqas</cp:lastModifiedBy>
  <dcterms:created xsi:type="dcterms:W3CDTF">2025-12-10T19:16:35Z</dcterms:created>
  <dcterms:modified xsi:type="dcterms:W3CDTF">2026-02-18T13:31:41Z</dcterms:modified>
</cp:coreProperties>
</file>